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went-my.sharepoint.com/personal/10257042_coleggwent_ac_uk/Documents/Level 2 ICT/Unit 21 - A Technology Business/"/>
    </mc:Choice>
  </mc:AlternateContent>
  <xr:revisionPtr revIDLastSave="0" documentId="8_{BC7DC5E6-76B1-4FF6-B6E2-0C386353D9AE}" xr6:coauthVersionLast="36" xr6:coauthVersionMax="36" xr10:uidLastSave="{00000000-0000-0000-0000-000000000000}"/>
  <bookViews>
    <workbookView xWindow="0" yWindow="0" windowWidth="21600" windowHeight="9525" xr2:uid="{3FD4752B-588C-420A-8D7B-25762A235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C25" i="1"/>
  <c r="D25" i="1"/>
  <c r="E25" i="1"/>
  <c r="C21" i="1"/>
  <c r="C23" i="1" s="1"/>
  <c r="D21" i="1"/>
  <c r="D23" i="1" s="1"/>
  <c r="E21" i="1"/>
  <c r="C22" i="1"/>
  <c r="D22" i="1"/>
  <c r="E22" i="1"/>
  <c r="E23" i="1" s="1"/>
  <c r="C17" i="1"/>
  <c r="D17" i="1"/>
  <c r="E17" i="1"/>
  <c r="C8" i="1"/>
  <c r="D8" i="1"/>
  <c r="E8" i="1"/>
  <c r="B17" i="1"/>
  <c r="B22" i="1"/>
  <c r="B21" i="1"/>
  <c r="B18" i="1" s="1"/>
  <c r="B8" i="1"/>
  <c r="B23" i="1" l="1"/>
  <c r="B25" i="1" s="1"/>
</calcChain>
</file>

<file path=xl/sharedStrings.xml><?xml version="1.0" encoding="utf-8"?>
<sst xmlns="http://schemas.openxmlformats.org/spreadsheetml/2006/main" count="20" uniqueCount="20">
  <si>
    <t>Fixed (Indirect) Costs</t>
  </si>
  <si>
    <t>Variable (Direct) Cost</t>
  </si>
  <si>
    <t>Number of Sales</t>
  </si>
  <si>
    <t>Running Variable Cost</t>
  </si>
  <si>
    <t>Running Fixed Cost</t>
  </si>
  <si>
    <t>Running Total Cost</t>
  </si>
  <si>
    <t>Office Space</t>
  </si>
  <si>
    <t>Insurance</t>
  </si>
  <si>
    <t>Electricity/Gas</t>
  </si>
  <si>
    <t>Broadband</t>
  </si>
  <si>
    <t>Salaries/Wages (2 x full-time min. wage)</t>
  </si>
  <si>
    <t>Online Store Commission</t>
  </si>
  <si>
    <t>Price per Unit</t>
  </si>
  <si>
    <t>Sales Revenue</t>
  </si>
  <si>
    <t>Running Total</t>
  </si>
  <si>
    <t>Jan</t>
  </si>
  <si>
    <t>Feb</t>
  </si>
  <si>
    <t>March</t>
  </si>
  <si>
    <t>April</t>
  </si>
  <si>
    <t>Margin of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</si>
</sst>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2" fillId="4" borderId="1" xfId="0" applyFont="1" applyFill="1" applyBorder="1"/>
    <xf numFmtId="0" fontId="1" fillId="3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0" borderId="0" xfId="0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5220-70A2-44B3-979C-E553463DFD83}">
  <dimension ref="A1:F25"/>
  <sheetViews>
    <sheetView tabSelected="1" workbookViewId="0">
      <selection activeCell="G5" sqref="G5"/>
    </sheetView>
  </sheetViews>
  <sheetFormatPr defaultRowHeight="15" x14ac:dyDescent="0.25"/>
  <cols>
    <col min="1" max="1" width="37.5703125" bestFit="1" customWidth="1"/>
    <col min="2" max="2" width="7.7109375" customWidth="1"/>
    <col min="3" max="3" width="7.85546875" customWidth="1"/>
    <col min="4" max="5" width="7.7109375" customWidth="1"/>
  </cols>
  <sheetData>
    <row r="1" spans="1:6" x14ac:dyDescent="0.25">
      <c r="A1" t="s">
        <v>12</v>
      </c>
      <c r="B1">
        <v>4</v>
      </c>
    </row>
    <row r="3" spans="1:6" x14ac:dyDescent="0.25">
      <c r="A3" s="1" t="s">
        <v>0</v>
      </c>
      <c r="B3" t="s">
        <v>15</v>
      </c>
      <c r="C3" t="s">
        <v>16</v>
      </c>
      <c r="D3" t="s">
        <v>17</v>
      </c>
      <c r="E3" t="s">
        <v>18</v>
      </c>
    </row>
    <row r="4" spans="1:6" x14ac:dyDescent="0.25">
      <c r="A4" t="s">
        <v>6</v>
      </c>
      <c r="B4">
        <v>560</v>
      </c>
      <c r="C4">
        <v>560</v>
      </c>
      <c r="D4">
        <v>560</v>
      </c>
      <c r="E4">
        <v>560</v>
      </c>
    </row>
    <row r="5" spans="1:6" x14ac:dyDescent="0.25">
      <c r="A5" t="s">
        <v>7</v>
      </c>
      <c r="B5">
        <v>350</v>
      </c>
      <c r="C5">
        <v>350</v>
      </c>
      <c r="D5">
        <v>350</v>
      </c>
      <c r="E5">
        <v>350</v>
      </c>
    </row>
    <row r="6" spans="1:6" x14ac:dyDescent="0.25">
      <c r="A6" t="s">
        <v>8</v>
      </c>
      <c r="B6">
        <v>190</v>
      </c>
      <c r="C6">
        <v>190</v>
      </c>
      <c r="D6">
        <v>190</v>
      </c>
      <c r="E6">
        <v>190</v>
      </c>
    </row>
    <row r="7" spans="1:6" x14ac:dyDescent="0.25">
      <c r="A7" t="s">
        <v>9</v>
      </c>
      <c r="B7">
        <v>50</v>
      </c>
      <c r="C7">
        <v>50</v>
      </c>
      <c r="D7">
        <v>50</v>
      </c>
      <c r="E7">
        <v>50</v>
      </c>
    </row>
    <row r="8" spans="1:6" x14ac:dyDescent="0.25">
      <c r="A8" t="s">
        <v>10</v>
      </c>
      <c r="B8">
        <f>(2)*(9.5*37.5*4)</f>
        <v>2850</v>
      </c>
      <c r="C8">
        <f t="shared" ref="C8:E8" si="0">(2)*(9.5*37.5*4)</f>
        <v>2850</v>
      </c>
      <c r="D8">
        <f t="shared" si="0"/>
        <v>2850</v>
      </c>
      <c r="E8">
        <f t="shared" si="0"/>
        <v>2850</v>
      </c>
    </row>
    <row r="11" spans="1:6" x14ac:dyDescent="0.25">
      <c r="A11" s="1" t="s">
        <v>1</v>
      </c>
    </row>
    <row r="12" spans="1:6" x14ac:dyDescent="0.25">
      <c r="A12" t="s">
        <v>11</v>
      </c>
      <c r="B12">
        <v>2</v>
      </c>
      <c r="C12">
        <v>2</v>
      </c>
      <c r="D12">
        <v>2</v>
      </c>
      <c r="E12">
        <v>2</v>
      </c>
    </row>
    <row r="13" spans="1:6" x14ac:dyDescent="0.25">
      <c r="F13" s="6"/>
    </row>
    <row r="15" spans="1:6" ht="15.75" thickBot="1" x14ac:dyDescent="0.3"/>
    <row r="16" spans="1:6" ht="15.75" thickBot="1" x14ac:dyDescent="0.3">
      <c r="A16" s="3" t="s">
        <v>2</v>
      </c>
      <c r="B16" s="3">
        <v>1000</v>
      </c>
      <c r="C16" s="3">
        <v>2000</v>
      </c>
      <c r="D16" s="3">
        <v>3000</v>
      </c>
      <c r="E16" s="3">
        <v>4000</v>
      </c>
    </row>
    <row r="17" spans="1:5" ht="15.75" thickBot="1" x14ac:dyDescent="0.3">
      <c r="A17" s="3" t="s">
        <v>13</v>
      </c>
      <c r="B17" s="3">
        <f>$B1*B16</f>
        <v>4000</v>
      </c>
      <c r="C17" s="3">
        <f t="shared" ref="C17:E17" si="1">$B1*C16</f>
        <v>8000</v>
      </c>
      <c r="D17" s="3">
        <f t="shared" si="1"/>
        <v>12000</v>
      </c>
      <c r="E17" s="3">
        <f t="shared" si="1"/>
        <v>16000</v>
      </c>
    </row>
    <row r="18" spans="1:5" ht="15.75" thickBot="1" x14ac:dyDescent="0.3">
      <c r="A18" s="3" t="s">
        <v>19</v>
      </c>
      <c r="B18" s="3">
        <f>B17-B21</f>
        <v>2000</v>
      </c>
      <c r="C18" s="3">
        <f t="shared" ref="C18:E18" si="2">C17-C21</f>
        <v>4000</v>
      </c>
      <c r="D18" s="3">
        <f t="shared" si="2"/>
        <v>6000</v>
      </c>
      <c r="E18" s="3">
        <f t="shared" si="2"/>
        <v>8000</v>
      </c>
    </row>
    <row r="19" spans="1:5" x14ac:dyDescent="0.25">
      <c r="E19" s="6"/>
    </row>
    <row r="20" spans="1:5" x14ac:dyDescent="0.25">
      <c r="E20" s="6"/>
    </row>
    <row r="21" spans="1:5" x14ac:dyDescent="0.25">
      <c r="A21" s="2" t="s">
        <v>3</v>
      </c>
      <c r="B21" s="2">
        <f>B12*B16</f>
        <v>2000</v>
      </c>
      <c r="C21" s="2">
        <f t="shared" ref="C21:E21" si="3">C12*C16</f>
        <v>4000</v>
      </c>
      <c r="D21" s="2">
        <f t="shared" si="3"/>
        <v>6000</v>
      </c>
      <c r="E21" s="2">
        <f t="shared" si="3"/>
        <v>8000</v>
      </c>
    </row>
    <row r="22" spans="1:5" x14ac:dyDescent="0.25">
      <c r="A22" s="2" t="s">
        <v>4</v>
      </c>
      <c r="B22" s="2">
        <f>SUM(B4:B8)</f>
        <v>4000</v>
      </c>
      <c r="C22" s="2">
        <f t="shared" ref="C22:E22" si="4">SUM(C4:C8)</f>
        <v>4000</v>
      </c>
      <c r="D22" s="2">
        <f t="shared" si="4"/>
        <v>4000</v>
      </c>
      <c r="E22" s="2">
        <f t="shared" si="4"/>
        <v>4000</v>
      </c>
    </row>
    <row r="23" spans="1:5" x14ac:dyDescent="0.25">
      <c r="A23" s="4" t="s">
        <v>5</v>
      </c>
      <c r="B23" s="4">
        <f>B21+B22</f>
        <v>6000</v>
      </c>
      <c r="C23" s="2">
        <f t="shared" ref="C23:E23" si="5">C21+C22</f>
        <v>8000</v>
      </c>
      <c r="D23" s="2">
        <f t="shared" si="5"/>
        <v>10000</v>
      </c>
      <c r="E23" s="2">
        <f t="shared" si="5"/>
        <v>12000</v>
      </c>
    </row>
    <row r="24" spans="1:5" x14ac:dyDescent="0.25">
      <c r="A24" s="7"/>
      <c r="B24" s="7"/>
    </row>
    <row r="25" spans="1:5" x14ac:dyDescent="0.25">
      <c r="A25" s="5" t="s">
        <v>14</v>
      </c>
      <c r="B25" s="5">
        <f>B17-B23</f>
        <v>-2000</v>
      </c>
      <c r="C25" s="2">
        <f t="shared" ref="C25:E25" si="6">C17-C23</f>
        <v>0</v>
      </c>
      <c r="D25" s="2">
        <f t="shared" si="6"/>
        <v>2000</v>
      </c>
      <c r="E25" s="2">
        <f t="shared" si="6"/>
        <v>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5E100519F324B924EAA52D502CFF6" ma:contentTypeVersion="11" ma:contentTypeDescription="Create a new document." ma:contentTypeScope="" ma:versionID="84c9b2193c39630d30e1ba7e0e1090ed">
  <xsd:schema xmlns:xsd="http://www.w3.org/2001/XMLSchema" xmlns:xs="http://www.w3.org/2001/XMLSchema" xmlns:p="http://schemas.microsoft.com/office/2006/metadata/properties" xmlns:ns3="7ac2e845-e209-4bd0-8853-f0a40aad2acd" xmlns:ns4="9a569939-0db0-4e3c-aef4-73f7d3b1dd8b" targetNamespace="http://schemas.microsoft.com/office/2006/metadata/properties" ma:root="true" ma:fieldsID="d0f3f6c7ceec76639cce84c43032c5c0" ns3:_="" ns4:_="">
    <xsd:import namespace="7ac2e845-e209-4bd0-8853-f0a40aad2acd"/>
    <xsd:import namespace="9a569939-0db0-4e3c-aef4-73f7d3b1dd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e845-e209-4bd0-8853-f0a40aad2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69939-0db0-4e3c-aef4-73f7d3b1dd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36791-3C88-4EDC-8939-690DDBE49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c2e845-e209-4bd0-8853-f0a40aad2acd"/>
    <ds:schemaRef ds:uri="9a569939-0db0-4e3c-aef4-73f7d3b1d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E961D6-042D-4749-A239-7C0C818EC2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5131F7-64CD-48D8-90F8-D5EC107E5DBE}">
  <ds:schemaRefs>
    <ds:schemaRef ds:uri="http://purl.org/dc/elements/1.1/"/>
    <ds:schemaRef ds:uri="http://schemas.microsoft.com/office/2006/documentManagement/types"/>
    <ds:schemaRef ds:uri="http://www.w3.org/XML/1998/namespace"/>
    <ds:schemaRef ds:uri="7ac2e845-e209-4bd0-8853-f0a40aad2acd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9a569939-0db0-4e3c-aef4-73f7d3b1dd8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Coleg Gwent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Archer</dc:creator>
  <cp:lastModifiedBy>Sebastian Archer</cp:lastModifiedBy>
  <dcterms:created xsi:type="dcterms:W3CDTF">2022-04-05T12:20:36Z</dcterms:created>
  <dcterms:modified xsi:type="dcterms:W3CDTF">2022-04-05T13:07:30Z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0x010100E325E100519F324B924EAA52D502CFF6</vt:lpwstr>
  </property>
</Properties>
</file>