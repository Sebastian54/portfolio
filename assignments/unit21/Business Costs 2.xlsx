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gwent-my.sharepoint.com/personal/10257042_coleggwent_ac_uk/Documents/Level 2 ICT/Unit 21 - A Technology Business/"/>
    </mc:Choice>
  </mc:AlternateContent>
  <xr:revisionPtr revIDLastSave="1" documentId="8_{7C28B895-29D3-4668-8E99-BC7BFE37646F}" xr6:coauthVersionLast="36" xr6:coauthVersionMax="36" xr10:uidLastSave="{53792661-B6B7-4653-9930-95D7FF56C0AD}"/>
  <bookViews>
    <workbookView xWindow="0" yWindow="0" windowWidth="21600" windowHeight="9525" xr2:uid="{3FD4752B-588C-420A-8D7B-25762A235F5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22" i="1" l="1"/>
  <c r="G22" i="1"/>
  <c r="H22" i="1"/>
  <c r="I22" i="1"/>
  <c r="J22" i="1"/>
  <c r="K22" i="1"/>
  <c r="L22" i="1"/>
  <c r="M22" i="1"/>
  <c r="F21" i="1"/>
  <c r="F23" i="1" s="1"/>
  <c r="F25" i="1" s="1"/>
  <c r="G21" i="1"/>
  <c r="G18" i="1" s="1"/>
  <c r="H21" i="1"/>
  <c r="H23" i="1" s="1"/>
  <c r="H25" i="1" s="1"/>
  <c r="I21" i="1"/>
  <c r="I18" i="1" s="1"/>
  <c r="J21" i="1"/>
  <c r="J23" i="1" s="1"/>
  <c r="J25" i="1" s="1"/>
  <c r="K21" i="1"/>
  <c r="K18" i="1" s="1"/>
  <c r="L21" i="1"/>
  <c r="L23" i="1" s="1"/>
  <c r="L25" i="1" s="1"/>
  <c r="M21" i="1"/>
  <c r="M18" i="1" s="1"/>
  <c r="F18" i="1"/>
  <c r="J18" i="1"/>
  <c r="H18" i="1"/>
  <c r="L18" i="1"/>
  <c r="F17" i="1"/>
  <c r="G17" i="1"/>
  <c r="H17" i="1"/>
  <c r="I17" i="1"/>
  <c r="J17" i="1"/>
  <c r="K17" i="1"/>
  <c r="L17" i="1"/>
  <c r="M17" i="1"/>
  <c r="F8" i="1"/>
  <c r="G8" i="1"/>
  <c r="H8" i="1"/>
  <c r="I8" i="1"/>
  <c r="J8" i="1"/>
  <c r="K8" i="1"/>
  <c r="L8" i="1"/>
  <c r="M8" i="1"/>
  <c r="K23" i="1" l="1"/>
  <c r="K25" i="1" s="1"/>
  <c r="G23" i="1"/>
  <c r="G25" i="1" s="1"/>
  <c r="M23" i="1"/>
  <c r="M25" i="1" s="1"/>
  <c r="I23" i="1"/>
  <c r="I25" i="1" s="1"/>
  <c r="D18" i="1"/>
  <c r="D25" i="1"/>
  <c r="C23" i="1"/>
  <c r="D21" i="1"/>
  <c r="D23" i="1" s="1"/>
  <c r="E21" i="1"/>
  <c r="E18" i="1" s="1"/>
  <c r="C22" i="1"/>
  <c r="D22" i="1"/>
  <c r="E22" i="1"/>
  <c r="C17" i="1"/>
  <c r="D17" i="1"/>
  <c r="E17" i="1"/>
  <c r="C8" i="1"/>
  <c r="D8" i="1"/>
  <c r="E8" i="1"/>
  <c r="B17" i="1"/>
  <c r="B22" i="1"/>
  <c r="B21" i="1"/>
  <c r="B18" i="1" s="1"/>
  <c r="B8" i="1"/>
  <c r="C25" i="1" l="1"/>
  <c r="C18" i="1"/>
  <c r="E23" i="1"/>
  <c r="E25" i="1" s="1"/>
  <c r="B23" i="1"/>
  <c r="B25" i="1" s="1"/>
</calcChain>
</file>

<file path=xl/sharedStrings.xml><?xml version="1.0" encoding="utf-8"?>
<sst xmlns="http://schemas.openxmlformats.org/spreadsheetml/2006/main" count="28" uniqueCount="28">
  <si>
    <t>Fixed (Indirect) Costs</t>
  </si>
  <si>
    <t>Variable (Direct) Cost</t>
  </si>
  <si>
    <t>Number of Sales</t>
  </si>
  <si>
    <t>Running Variable Cost</t>
  </si>
  <si>
    <t>Running Fixed Cost</t>
  </si>
  <si>
    <t>Running Total Cost</t>
  </si>
  <si>
    <t>Office Space</t>
  </si>
  <si>
    <t>Insurance</t>
  </si>
  <si>
    <t>Electricity/Gas</t>
  </si>
  <si>
    <t>Broadband</t>
  </si>
  <si>
    <t>Salaries/Wages (2 x full-time min. wage)</t>
  </si>
  <si>
    <t>Online Store Commission</t>
  </si>
  <si>
    <t>Price per Unit</t>
  </si>
  <si>
    <t>Sales Revenue</t>
  </si>
  <si>
    <t>Running Total</t>
  </si>
  <si>
    <t>Jan</t>
  </si>
  <si>
    <t>Feb</t>
  </si>
  <si>
    <t>March</t>
  </si>
  <si>
    <t>April</t>
  </si>
  <si>
    <t>Margin of Safety</t>
  </si>
  <si>
    <t>May</t>
  </si>
  <si>
    <t>June</t>
  </si>
  <si>
    <t>July</t>
  </si>
  <si>
    <t>August</t>
  </si>
  <si>
    <t>September</t>
  </si>
  <si>
    <t>October</t>
  </si>
  <si>
    <t>November</t>
  </si>
  <si>
    <t>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</si>
</sst>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5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">
    <xf numFmtId="0" fontId="0" fillId="0" borderId="0"/>
    <xf numFmtId="0" fontId="2" fillId="2" borderId="2" applyNumberFormat="0" applyAlignment="0" applyProtection="0"/>
    <xf numFmtId="0" fontId="3" fillId="3" borderId="2" applyNumberFormat="0" applyAlignment="0" applyProtection="0"/>
    <xf numFmtId="0" fontId="4" fillId="4" borderId="3" applyNumberFormat="0" applyAlignment="0" applyProtection="0"/>
  </cellStyleXfs>
  <cellXfs count="7">
    <xf numFmtId="0" fontId="0" fillId="0" borderId="0" xfId="0"/>
    <xf numFmtId="0" fontId="0" fillId="0" borderId="0" xfId="0" applyBorder="1"/>
    <xf numFmtId="0" fontId="1" fillId="0" borderId="1" xfId="0" applyFont="1" applyFill="1" applyBorder="1"/>
    <xf numFmtId="9" fontId="0" fillId="0" borderId="0" xfId="0" applyNumberFormat="1"/>
    <xf numFmtId="0" fontId="4" fillId="4" borderId="3" xfId="3"/>
    <xf numFmtId="0" fontId="2" fillId="2" borderId="2" xfId="1"/>
    <xf numFmtId="0" fontId="3" fillId="3" borderId="2" xfId="2"/>
  </cellXfs>
  <cellStyles count="4">
    <cellStyle name="Calculation" xfId="2" builtinId="22"/>
    <cellStyle name="Check Cell" xfId="3" builtinId="23"/>
    <cellStyle name="Input" xfId="1" builtinId="20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Sheet1!$B$17:$M$17</c:f>
              <c:numCache>
                <c:formatCode>General</c:formatCode>
                <c:ptCount val="12"/>
                <c:pt idx="0">
                  <c:v>4000</c:v>
                </c:pt>
                <c:pt idx="1">
                  <c:v>8000</c:v>
                </c:pt>
                <c:pt idx="2">
                  <c:v>12000</c:v>
                </c:pt>
                <c:pt idx="3">
                  <c:v>16000</c:v>
                </c:pt>
                <c:pt idx="4">
                  <c:v>16000</c:v>
                </c:pt>
                <c:pt idx="5">
                  <c:v>16000</c:v>
                </c:pt>
                <c:pt idx="6">
                  <c:v>16000</c:v>
                </c:pt>
                <c:pt idx="7">
                  <c:v>16000</c:v>
                </c:pt>
                <c:pt idx="8">
                  <c:v>16000</c:v>
                </c:pt>
                <c:pt idx="9">
                  <c:v>16000</c:v>
                </c:pt>
                <c:pt idx="10">
                  <c:v>16000</c:v>
                </c:pt>
                <c:pt idx="11">
                  <c:v>16000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45B-45AC-88F0-EA6116CE3321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Sheet1!$B$23:$M$23</c:f>
              <c:numCache>
                <c:formatCode>General</c:formatCode>
                <c:ptCount val="12"/>
                <c:pt idx="0">
                  <c:v>4200</c:v>
                </c:pt>
                <c:pt idx="1">
                  <c:v>4200</c:v>
                </c:pt>
                <c:pt idx="2">
                  <c:v>4600</c:v>
                </c:pt>
                <c:pt idx="3">
                  <c:v>4800</c:v>
                </c:pt>
                <c:pt idx="4">
                  <c:v>4800</c:v>
                </c:pt>
                <c:pt idx="5">
                  <c:v>4800</c:v>
                </c:pt>
                <c:pt idx="6">
                  <c:v>4800</c:v>
                </c:pt>
                <c:pt idx="7">
                  <c:v>4800</c:v>
                </c:pt>
                <c:pt idx="8">
                  <c:v>4800</c:v>
                </c:pt>
                <c:pt idx="9">
                  <c:v>4800</c:v>
                </c:pt>
                <c:pt idx="10">
                  <c:v>4800</c:v>
                </c:pt>
                <c:pt idx="11">
                  <c:v>4800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45B-45AC-88F0-EA6116CE3321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Sheet1!$B$25:$M$25</c:f>
              <c:numCache>
                <c:formatCode>General</c:formatCode>
                <c:ptCount val="12"/>
                <c:pt idx="0">
                  <c:v>-200</c:v>
                </c:pt>
                <c:pt idx="1">
                  <c:v>3800</c:v>
                </c:pt>
                <c:pt idx="2">
                  <c:v>7400</c:v>
                </c:pt>
                <c:pt idx="3">
                  <c:v>11200</c:v>
                </c:pt>
                <c:pt idx="4">
                  <c:v>11200</c:v>
                </c:pt>
                <c:pt idx="5">
                  <c:v>11200</c:v>
                </c:pt>
                <c:pt idx="6">
                  <c:v>11200</c:v>
                </c:pt>
                <c:pt idx="7">
                  <c:v>11200</c:v>
                </c:pt>
                <c:pt idx="8">
                  <c:v>11200</c:v>
                </c:pt>
                <c:pt idx="9">
                  <c:v>11200</c:v>
                </c:pt>
                <c:pt idx="10">
                  <c:v>11200</c:v>
                </c:pt>
                <c:pt idx="11">
                  <c:v>11200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45B-45AC-88F0-EA6116CE33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72027584"/>
        <c:axId val="1062035360"/>
      </c:lineChart>
      <c:catAx>
        <c:axId val="107202758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2035360"/>
        <c:crosses val="autoZero"/>
        <c:auto val="1"/>
        <c:lblAlgn val="ctr"/>
        <c:lblOffset val="100"/>
        <c:noMultiLvlLbl val="0"/>
      </c:catAx>
      <c:valAx>
        <c:axId val="1062035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20275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95250</xdr:colOff>
      <xdr:row>8</xdr:row>
      <xdr:rowOff>71437</xdr:rowOff>
    </xdr:from>
    <xdr:to>
      <xdr:col>22</xdr:col>
      <xdr:colOff>400050</xdr:colOff>
      <xdr:row>22</xdr:row>
      <xdr:rowOff>109537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5FC6B20-4786-478E-B08A-10EB0B1275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765220-70A2-44B3-979C-E553463DFD83}">
  <dimension ref="A1:M25"/>
  <sheetViews>
    <sheetView tabSelected="1" workbookViewId="0">
      <selection activeCell="O26" sqref="O26"/>
    </sheetView>
  </sheetViews>
  <sheetFormatPr defaultRowHeight="15" x14ac:dyDescent="0.25"/>
  <cols>
    <col min="1" max="1" width="37.5703125" bestFit="1" customWidth="1"/>
    <col min="2" max="2" width="7.7109375" customWidth="1"/>
    <col min="3" max="3" width="7.85546875" customWidth="1"/>
    <col min="4" max="5" width="7.7109375" customWidth="1"/>
    <col min="10" max="10" width="10.85546875" bestFit="1" customWidth="1"/>
    <col min="12" max="12" width="10.42578125" bestFit="1" customWidth="1"/>
    <col min="13" max="13" width="10.140625" bestFit="1" customWidth="1"/>
  </cols>
  <sheetData>
    <row r="1" spans="1:13" ht="16.5" thickTop="1" thickBot="1" x14ac:dyDescent="0.3">
      <c r="A1" s="4" t="s">
        <v>12</v>
      </c>
      <c r="B1" s="4">
        <v>4</v>
      </c>
    </row>
    <row r="2" spans="1:13" ht="15.75" thickTop="1" x14ac:dyDescent="0.25"/>
    <row r="3" spans="1:13" x14ac:dyDescent="0.25">
      <c r="A3" s="5" t="s">
        <v>0</v>
      </c>
      <c r="B3" t="s">
        <v>15</v>
      </c>
      <c r="C3" t="s">
        <v>16</v>
      </c>
      <c r="D3" t="s">
        <v>17</v>
      </c>
      <c r="E3" t="s">
        <v>18</v>
      </c>
      <c r="F3" t="s">
        <v>20</v>
      </c>
      <c r="G3" t="s">
        <v>21</v>
      </c>
      <c r="H3" t="s">
        <v>22</v>
      </c>
      <c r="I3" t="s">
        <v>23</v>
      </c>
      <c r="J3" t="s">
        <v>24</v>
      </c>
      <c r="K3" t="s">
        <v>25</v>
      </c>
      <c r="L3" t="s">
        <v>26</v>
      </c>
      <c r="M3" t="s">
        <v>27</v>
      </c>
    </row>
    <row r="4" spans="1:13" x14ac:dyDescent="0.25">
      <c r="A4" t="s">
        <v>6</v>
      </c>
      <c r="B4">
        <v>560</v>
      </c>
      <c r="C4">
        <v>560</v>
      </c>
      <c r="D4">
        <v>560</v>
      </c>
      <c r="E4">
        <v>560</v>
      </c>
      <c r="F4">
        <v>560</v>
      </c>
      <c r="G4">
        <v>560</v>
      </c>
      <c r="H4">
        <v>560</v>
      </c>
      <c r="I4">
        <v>560</v>
      </c>
      <c r="J4">
        <v>560</v>
      </c>
      <c r="K4">
        <v>560</v>
      </c>
      <c r="L4">
        <v>560</v>
      </c>
      <c r="M4">
        <v>560</v>
      </c>
    </row>
    <row r="5" spans="1:13" x14ac:dyDescent="0.25">
      <c r="A5" t="s">
        <v>7</v>
      </c>
      <c r="B5">
        <v>350</v>
      </c>
      <c r="C5">
        <v>350</v>
      </c>
      <c r="D5">
        <v>350</v>
      </c>
      <c r="E5">
        <v>350</v>
      </c>
      <c r="F5">
        <v>350</v>
      </c>
      <c r="G5">
        <v>350</v>
      </c>
      <c r="H5">
        <v>350</v>
      </c>
      <c r="I5">
        <v>350</v>
      </c>
      <c r="J5">
        <v>350</v>
      </c>
      <c r="K5">
        <v>350</v>
      </c>
      <c r="L5">
        <v>350</v>
      </c>
      <c r="M5">
        <v>350</v>
      </c>
    </row>
    <row r="6" spans="1:13" x14ac:dyDescent="0.25">
      <c r="A6" t="s">
        <v>8</v>
      </c>
      <c r="B6">
        <v>190</v>
      </c>
      <c r="C6">
        <v>190</v>
      </c>
      <c r="D6">
        <v>190</v>
      </c>
      <c r="E6">
        <v>190</v>
      </c>
      <c r="F6">
        <v>190</v>
      </c>
      <c r="G6">
        <v>190</v>
      </c>
      <c r="H6">
        <v>190</v>
      </c>
      <c r="I6">
        <v>190</v>
      </c>
      <c r="J6">
        <v>190</v>
      </c>
      <c r="K6">
        <v>190</v>
      </c>
      <c r="L6">
        <v>190</v>
      </c>
      <c r="M6">
        <v>190</v>
      </c>
    </row>
    <row r="7" spans="1:13" x14ac:dyDescent="0.25">
      <c r="A7" t="s">
        <v>9</v>
      </c>
      <c r="B7">
        <v>50</v>
      </c>
      <c r="C7">
        <v>50</v>
      </c>
      <c r="D7">
        <v>50</v>
      </c>
      <c r="E7">
        <v>50</v>
      </c>
      <c r="F7">
        <v>50</v>
      </c>
      <c r="G7">
        <v>50</v>
      </c>
      <c r="H7">
        <v>50</v>
      </c>
      <c r="I7">
        <v>50</v>
      </c>
      <c r="J7">
        <v>50</v>
      </c>
      <c r="K7">
        <v>50</v>
      </c>
      <c r="L7">
        <v>50</v>
      </c>
      <c r="M7">
        <v>50</v>
      </c>
    </row>
    <row r="8" spans="1:13" x14ac:dyDescent="0.25">
      <c r="A8" t="s">
        <v>10</v>
      </c>
      <c r="B8">
        <f>(2)*(9.5*37.5*4)</f>
        <v>2850</v>
      </c>
      <c r="C8">
        <f t="shared" ref="C8:M8" si="0">(2)*(9.5*37.5*4)</f>
        <v>2850</v>
      </c>
      <c r="D8">
        <f t="shared" si="0"/>
        <v>2850</v>
      </c>
      <c r="E8">
        <f t="shared" si="0"/>
        <v>2850</v>
      </c>
      <c r="F8">
        <f t="shared" si="0"/>
        <v>2850</v>
      </c>
      <c r="G8">
        <f t="shared" si="0"/>
        <v>2850</v>
      </c>
      <c r="H8">
        <f t="shared" si="0"/>
        <v>2850</v>
      </c>
      <c r="I8">
        <f t="shared" si="0"/>
        <v>2850</v>
      </c>
      <c r="J8">
        <f t="shared" si="0"/>
        <v>2850</v>
      </c>
      <c r="K8">
        <f t="shared" si="0"/>
        <v>2850</v>
      </c>
      <c r="L8">
        <f t="shared" si="0"/>
        <v>2850</v>
      </c>
      <c r="M8">
        <f t="shared" si="0"/>
        <v>2850</v>
      </c>
    </row>
    <row r="11" spans="1:13" x14ac:dyDescent="0.25">
      <c r="A11" s="5" t="s">
        <v>1</v>
      </c>
    </row>
    <row r="12" spans="1:13" x14ac:dyDescent="0.25">
      <c r="A12" t="s">
        <v>11</v>
      </c>
      <c r="B12" s="3">
        <v>0.2</v>
      </c>
      <c r="C12" s="3">
        <v>0.2</v>
      </c>
      <c r="D12" s="3">
        <v>0.2</v>
      </c>
      <c r="E12" s="3">
        <v>0.2</v>
      </c>
      <c r="F12" s="3">
        <v>0.2</v>
      </c>
      <c r="G12" s="3">
        <v>0.2</v>
      </c>
      <c r="H12" s="3">
        <v>0.2</v>
      </c>
      <c r="I12" s="3">
        <v>0.2</v>
      </c>
      <c r="J12" s="3">
        <v>0.2</v>
      </c>
      <c r="K12" s="3">
        <v>0.2</v>
      </c>
      <c r="L12" s="3">
        <v>0.2</v>
      </c>
      <c r="M12" s="3">
        <v>0.2</v>
      </c>
    </row>
    <row r="13" spans="1:13" x14ac:dyDescent="0.25">
      <c r="F13" s="1"/>
    </row>
    <row r="15" spans="1:13" ht="15.75" thickBot="1" x14ac:dyDescent="0.3"/>
    <row r="16" spans="1:13" ht="16.5" thickTop="1" thickBot="1" x14ac:dyDescent="0.3">
      <c r="A16" s="4" t="s">
        <v>2</v>
      </c>
      <c r="B16" s="4">
        <v>1000</v>
      </c>
      <c r="C16" s="4">
        <v>2000</v>
      </c>
      <c r="D16" s="4">
        <v>3000</v>
      </c>
      <c r="E16" s="4">
        <v>4000</v>
      </c>
      <c r="F16" s="4">
        <v>4000</v>
      </c>
      <c r="G16" s="4">
        <v>4000</v>
      </c>
      <c r="H16" s="4">
        <v>4000</v>
      </c>
      <c r="I16" s="4">
        <v>4000</v>
      </c>
      <c r="J16" s="4">
        <v>4000</v>
      </c>
      <c r="K16" s="4">
        <v>4000</v>
      </c>
      <c r="L16" s="4">
        <v>4000</v>
      </c>
      <c r="M16" s="4">
        <v>4000</v>
      </c>
    </row>
    <row r="17" spans="1:13" ht="16.5" thickTop="1" thickBot="1" x14ac:dyDescent="0.3">
      <c r="A17" s="4" t="s">
        <v>13</v>
      </c>
      <c r="B17" s="4">
        <f>$B1*B16</f>
        <v>4000</v>
      </c>
      <c r="C17" s="4">
        <f t="shared" ref="C17:M17" si="1">$B1*C16</f>
        <v>8000</v>
      </c>
      <c r="D17" s="4">
        <f t="shared" si="1"/>
        <v>12000</v>
      </c>
      <c r="E17" s="4">
        <f t="shared" si="1"/>
        <v>16000</v>
      </c>
      <c r="F17" s="4">
        <f t="shared" si="1"/>
        <v>16000</v>
      </c>
      <c r="G17" s="4">
        <f t="shared" si="1"/>
        <v>16000</v>
      </c>
      <c r="H17" s="4">
        <f t="shared" si="1"/>
        <v>16000</v>
      </c>
      <c r="I17" s="4">
        <f t="shared" si="1"/>
        <v>16000</v>
      </c>
      <c r="J17" s="4">
        <f t="shared" si="1"/>
        <v>16000</v>
      </c>
      <c r="K17" s="4">
        <f t="shared" si="1"/>
        <v>16000</v>
      </c>
      <c r="L17" s="4">
        <f t="shared" si="1"/>
        <v>16000</v>
      </c>
      <c r="M17" s="4">
        <f t="shared" si="1"/>
        <v>16000</v>
      </c>
    </row>
    <row r="18" spans="1:13" ht="16.5" thickTop="1" thickBot="1" x14ac:dyDescent="0.3">
      <c r="A18" s="4" t="s">
        <v>19</v>
      </c>
      <c r="B18" s="4">
        <f>B17-B21</f>
        <v>3800</v>
      </c>
      <c r="C18" s="4">
        <f t="shared" ref="C18:M18" si="2">C17-C21</f>
        <v>7800</v>
      </c>
      <c r="D18" s="4">
        <f t="shared" si="2"/>
        <v>11400</v>
      </c>
      <c r="E18" s="4">
        <f t="shared" si="2"/>
        <v>15200</v>
      </c>
      <c r="F18" s="4">
        <f t="shared" si="2"/>
        <v>15200</v>
      </c>
      <c r="G18" s="4">
        <f t="shared" si="2"/>
        <v>15200</v>
      </c>
      <c r="H18" s="4">
        <f t="shared" si="2"/>
        <v>15200</v>
      </c>
      <c r="I18" s="4">
        <f t="shared" si="2"/>
        <v>15200</v>
      </c>
      <c r="J18" s="4">
        <f t="shared" si="2"/>
        <v>15200</v>
      </c>
      <c r="K18" s="4">
        <f t="shared" si="2"/>
        <v>15200</v>
      </c>
      <c r="L18" s="4">
        <f t="shared" si="2"/>
        <v>15200</v>
      </c>
      <c r="M18" s="4">
        <f t="shared" si="2"/>
        <v>15200</v>
      </c>
    </row>
    <row r="19" spans="1:13" ht="15.75" thickTop="1" x14ac:dyDescent="0.25">
      <c r="E19" s="1"/>
    </row>
    <row r="20" spans="1:13" x14ac:dyDescent="0.25">
      <c r="E20" s="1"/>
    </row>
    <row r="21" spans="1:13" x14ac:dyDescent="0.25">
      <c r="A21" s="5" t="s">
        <v>3</v>
      </c>
      <c r="B21" s="5">
        <f>B12*B16</f>
        <v>200</v>
      </c>
      <c r="C21" s="5">
        <v>200</v>
      </c>
      <c r="D21" s="5">
        <f t="shared" ref="C21:M21" si="3">D12*D16</f>
        <v>600</v>
      </c>
      <c r="E21" s="5">
        <f t="shared" si="3"/>
        <v>800</v>
      </c>
      <c r="F21" s="5">
        <f t="shared" si="3"/>
        <v>800</v>
      </c>
      <c r="G21" s="5">
        <f t="shared" si="3"/>
        <v>800</v>
      </c>
      <c r="H21" s="5">
        <f t="shared" si="3"/>
        <v>800</v>
      </c>
      <c r="I21" s="5">
        <f t="shared" si="3"/>
        <v>800</v>
      </c>
      <c r="J21" s="5">
        <f t="shared" si="3"/>
        <v>800</v>
      </c>
      <c r="K21" s="5">
        <f t="shared" si="3"/>
        <v>800</v>
      </c>
      <c r="L21" s="5">
        <f t="shared" si="3"/>
        <v>800</v>
      </c>
      <c r="M21" s="5">
        <f t="shared" si="3"/>
        <v>800</v>
      </c>
    </row>
    <row r="22" spans="1:13" x14ac:dyDescent="0.25">
      <c r="A22" s="5" t="s">
        <v>4</v>
      </c>
      <c r="B22" s="5">
        <f>SUM(B4:B8)</f>
        <v>4000</v>
      </c>
      <c r="C22" s="5">
        <f t="shared" ref="C22:M22" si="4">SUM(C4:C8)</f>
        <v>4000</v>
      </c>
      <c r="D22" s="5">
        <f t="shared" si="4"/>
        <v>4000</v>
      </c>
      <c r="E22" s="5">
        <f t="shared" si="4"/>
        <v>4000</v>
      </c>
      <c r="F22" s="5">
        <f t="shared" si="4"/>
        <v>4000</v>
      </c>
      <c r="G22" s="5">
        <f t="shared" si="4"/>
        <v>4000</v>
      </c>
      <c r="H22" s="5">
        <f t="shared" si="4"/>
        <v>4000</v>
      </c>
      <c r="I22" s="5">
        <f t="shared" si="4"/>
        <v>4000</v>
      </c>
      <c r="J22" s="5">
        <f t="shared" si="4"/>
        <v>4000</v>
      </c>
      <c r="K22" s="5">
        <f t="shared" si="4"/>
        <v>4000</v>
      </c>
      <c r="L22" s="5">
        <f t="shared" si="4"/>
        <v>4000</v>
      </c>
      <c r="M22" s="5">
        <f t="shared" si="4"/>
        <v>4000</v>
      </c>
    </row>
    <row r="23" spans="1:13" x14ac:dyDescent="0.25">
      <c r="A23" s="5" t="s">
        <v>5</v>
      </c>
      <c r="B23" s="5">
        <f>B21+B22</f>
        <v>4200</v>
      </c>
      <c r="C23" s="5">
        <f t="shared" ref="C23:M23" si="5">C21+C22</f>
        <v>4200</v>
      </c>
      <c r="D23" s="5">
        <f t="shared" si="5"/>
        <v>4600</v>
      </c>
      <c r="E23" s="5">
        <f t="shared" si="5"/>
        <v>4800</v>
      </c>
      <c r="F23" s="5">
        <f t="shared" si="5"/>
        <v>4800</v>
      </c>
      <c r="G23" s="5">
        <f t="shared" si="5"/>
        <v>4800</v>
      </c>
      <c r="H23" s="5">
        <f t="shared" si="5"/>
        <v>4800</v>
      </c>
      <c r="I23" s="5">
        <f t="shared" si="5"/>
        <v>4800</v>
      </c>
      <c r="J23" s="5">
        <f t="shared" si="5"/>
        <v>4800</v>
      </c>
      <c r="K23" s="5">
        <f t="shared" si="5"/>
        <v>4800</v>
      </c>
      <c r="L23" s="5">
        <f t="shared" si="5"/>
        <v>4800</v>
      </c>
      <c r="M23" s="5">
        <f t="shared" si="5"/>
        <v>4800</v>
      </c>
    </row>
    <row r="24" spans="1:13" x14ac:dyDescent="0.25">
      <c r="A24" s="2"/>
      <c r="B24" s="2"/>
    </row>
    <row r="25" spans="1:13" x14ac:dyDescent="0.25">
      <c r="A25" s="6" t="s">
        <v>14</v>
      </c>
      <c r="B25" s="6">
        <f>B17-B23</f>
        <v>-200</v>
      </c>
      <c r="C25" s="6">
        <f t="shared" ref="C25:M25" si="6">C17-C23</f>
        <v>3800</v>
      </c>
      <c r="D25" s="6">
        <f t="shared" si="6"/>
        <v>7400</v>
      </c>
      <c r="E25" s="6">
        <f t="shared" si="6"/>
        <v>11200</v>
      </c>
      <c r="F25" s="6">
        <f t="shared" si="6"/>
        <v>11200</v>
      </c>
      <c r="G25" s="6">
        <f t="shared" si="6"/>
        <v>11200</v>
      </c>
      <c r="H25" s="6">
        <f t="shared" si="6"/>
        <v>11200</v>
      </c>
      <c r="I25" s="6">
        <f t="shared" si="6"/>
        <v>11200</v>
      </c>
      <c r="J25" s="6">
        <f t="shared" si="6"/>
        <v>11200</v>
      </c>
      <c r="K25" s="6">
        <f t="shared" si="6"/>
        <v>11200</v>
      </c>
      <c r="L25" s="6">
        <f t="shared" si="6"/>
        <v>11200</v>
      </c>
      <c r="M25" s="6">
        <f t="shared" si="6"/>
        <v>11200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325E100519F324B924EAA52D502CFF6" ma:contentTypeVersion="11" ma:contentTypeDescription="Create a new document." ma:contentTypeScope="" ma:versionID="84c9b2193c39630d30e1ba7e0e1090ed">
  <xsd:schema xmlns:xsd="http://www.w3.org/2001/XMLSchema" xmlns:xs="http://www.w3.org/2001/XMLSchema" xmlns:p="http://schemas.microsoft.com/office/2006/metadata/properties" xmlns:ns3="7ac2e845-e209-4bd0-8853-f0a40aad2acd" xmlns:ns4="9a569939-0db0-4e3c-aef4-73f7d3b1dd8b" targetNamespace="http://schemas.microsoft.com/office/2006/metadata/properties" ma:root="true" ma:fieldsID="d0f3f6c7ceec76639cce84c43032c5c0" ns3:_="" ns4:_="">
    <xsd:import namespace="7ac2e845-e209-4bd0-8853-f0a40aad2acd"/>
    <xsd:import namespace="9a569939-0db0-4e3c-aef4-73f7d3b1dd8b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ac2e845-e209-4bd0-8853-f0a40aad2ac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569939-0db0-4e3c-aef4-73f7d3b1dd8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F5131F7-64CD-48D8-90F8-D5EC107E5DBE}">
  <ds:schemaRefs>
    <ds:schemaRef ds:uri="http://purl.org/dc/elements/1.1/"/>
    <ds:schemaRef ds:uri="http://purl.org/dc/dcmitype/"/>
    <ds:schemaRef ds:uri="http://schemas.microsoft.com/office/2006/documentManagement/types"/>
    <ds:schemaRef ds:uri="7ac2e845-e209-4bd0-8853-f0a40aad2acd"/>
    <ds:schemaRef ds:uri="http://www.w3.org/XML/1998/namespace"/>
    <ds:schemaRef ds:uri="http://purl.org/dc/terms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9a569939-0db0-4e3c-aef4-73f7d3b1dd8b"/>
  </ds:schemaRefs>
</ds:datastoreItem>
</file>

<file path=customXml/itemProps2.xml><?xml version="1.0" encoding="utf-8"?>
<ds:datastoreItem xmlns:ds="http://schemas.openxmlformats.org/officeDocument/2006/customXml" ds:itemID="{3AE961D6-042D-4749-A239-7C0C818EC24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5F36791-3C88-4EDC-8939-690DDBE494C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ac2e845-e209-4bd0-8853-f0a40aad2acd"/>
    <ds:schemaRef ds:uri="9a569939-0db0-4e3c-aef4-73f7d3b1dd8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Coleg Gwent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Archer</dc:creator>
  <cp:lastModifiedBy>Sebastian Archer</cp:lastModifiedBy>
  <dcterms:created xsi:type="dcterms:W3CDTF">2022-04-05T12:20:36Z</dcterms:created>
  <dcterms:modified xsi:type="dcterms:W3CDTF">2022-05-10T13:46:35Z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0x010100E325E100519F324B924EAA52D502CFF6</vt:lpwstr>
  </property>
</Properties>
</file>